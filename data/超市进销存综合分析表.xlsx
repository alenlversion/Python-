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看板" sheetId="1" state="visible" r:id="rId1"/>
    <sheet xmlns:r="http://schemas.openxmlformats.org/officeDocument/2006/relationships" name="进货明细" sheetId="2" state="visible" r:id="rId2"/>
    <sheet xmlns:r="http://schemas.openxmlformats.org/officeDocument/2006/relationships" name="销售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CFE2F3"/>
        <bgColor rgb="00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收支盈利对比图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'管理看板'!E3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'管理看板'!$D$4:$D$6</f>
            </numRef>
          </cat>
          <val>
            <numRef>
              <f>'管理看板'!$E$4:$E$6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 (元)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陈氏超市收支盈利分析看板</t>
        </is>
      </c>
    </row>
    <row r="3">
      <c r="A3" s="2" t="inlineStr">
        <is>
          <t>总进货成本 (A)</t>
        </is>
      </c>
      <c r="B3">
        <f>SUM('进货明细'!E:E)</f>
        <v/>
      </c>
      <c r="D3" t="inlineStr">
        <is>
          <t>类别</t>
        </is>
      </c>
      <c r="E3" t="inlineStr">
        <is>
          <t>金额</t>
        </is>
      </c>
    </row>
    <row r="4">
      <c r="A4" s="2" t="inlineStr">
        <is>
          <t>总销售收入 (B)</t>
        </is>
      </c>
      <c r="B4">
        <f>SUM('销售明细'!E:E)</f>
        <v/>
      </c>
      <c r="D4" t="inlineStr">
        <is>
          <t>总成本</t>
        </is>
      </c>
      <c r="E4">
        <f>B3</f>
        <v/>
      </c>
    </row>
    <row r="5">
      <c r="A5" s="2" t="inlineStr">
        <is>
          <t>累计毛利润 (B-A)</t>
        </is>
      </c>
      <c r="B5">
        <f>B4-B3</f>
        <v/>
      </c>
      <c r="D5" t="inlineStr">
        <is>
          <t>总收入</t>
        </is>
      </c>
      <c r="E5">
        <f>B4</f>
        <v/>
      </c>
    </row>
    <row r="6">
      <c r="A6" s="2" t="inlineStr">
        <is>
          <t>综合毛利率</t>
        </is>
      </c>
      <c r="B6" s="3">
        <f>B5/B4</f>
        <v/>
      </c>
      <c r="D6" t="inlineStr">
        <is>
          <t>净利润</t>
        </is>
      </c>
      <c r="E6">
        <f>B5</f>
        <v/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日期</t>
        </is>
      </c>
      <c r="B1" s="4" t="inlineStr">
        <is>
          <t>商品名称</t>
        </is>
      </c>
      <c r="C1" s="4" t="inlineStr">
        <is>
          <t>进货单价</t>
        </is>
      </c>
      <c r="D1" s="4" t="inlineStr">
        <is>
          <t>进货数量</t>
        </is>
      </c>
      <c r="E1" s="4" t="inlineStr">
        <is>
          <t>进货总成本</t>
        </is>
      </c>
    </row>
    <row r="2">
      <c r="A2" t="inlineStr">
        <is>
          <t>2026-01-01</t>
        </is>
      </c>
      <c r="B2" t="inlineStr">
        <is>
          <t>苹果</t>
        </is>
      </c>
      <c r="C2" t="n">
        <v>3.5</v>
      </c>
      <c r="D2" t="n">
        <v>100</v>
      </c>
      <c r="E2">
        <f>C2*D2</f>
        <v/>
      </c>
    </row>
    <row r="3">
      <c r="A3" t="inlineStr">
        <is>
          <t>2026-01-01</t>
        </is>
      </c>
      <c r="B3" t="inlineStr">
        <is>
          <t>洗发水</t>
        </is>
      </c>
      <c r="C3" t="n">
        <v>25</v>
      </c>
      <c r="D3" t="n">
        <v>50</v>
      </c>
      <c r="E3">
        <f>C3*D3</f>
        <v/>
      </c>
    </row>
    <row r="4">
      <c r="A4" t="inlineStr">
        <is>
          <t>2026-01-02</t>
        </is>
      </c>
      <c r="B4" t="inlineStr">
        <is>
          <t>方便面</t>
        </is>
      </c>
      <c r="C4" t="n">
        <v>2</v>
      </c>
      <c r="D4" t="n">
        <v>200</v>
      </c>
      <c r="E4">
        <f>C4*D4</f>
        <v/>
      </c>
    </row>
    <row r="5">
      <c r="A5" t="inlineStr">
        <is>
          <t>2026-01-02</t>
        </is>
      </c>
      <c r="B5" t="inlineStr">
        <is>
          <t>鲈鱼</t>
        </is>
      </c>
      <c r="C5" t="n">
        <v>15</v>
      </c>
      <c r="D5" t="n">
        <v>30</v>
      </c>
      <c r="E5">
        <f>C5*D5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日期</t>
        </is>
      </c>
      <c r="B1" s="4" t="inlineStr">
        <is>
          <t>商品名称</t>
        </is>
      </c>
      <c r="C1" s="4" t="inlineStr">
        <is>
          <t>零售单价</t>
        </is>
      </c>
      <c r="D1" s="4" t="inlineStr">
        <is>
          <t>售出数量</t>
        </is>
      </c>
      <c r="E1" s="4" t="inlineStr">
        <is>
          <t>销售总金额</t>
        </is>
      </c>
    </row>
    <row r="2">
      <c r="A2" t="inlineStr">
        <is>
          <t>2026-01-03</t>
        </is>
      </c>
      <c r="B2" t="inlineStr">
        <is>
          <t>苹果</t>
        </is>
      </c>
      <c r="C2" t="n">
        <v>6</v>
      </c>
      <c r="D2" t="n">
        <v>80</v>
      </c>
      <c r="E2">
        <f>C2*D2</f>
        <v/>
      </c>
    </row>
    <row r="3">
      <c r="A3" t="inlineStr">
        <is>
          <t>2026-01-03</t>
        </is>
      </c>
      <c r="B3" t="inlineStr">
        <is>
          <t>洗发水</t>
        </is>
      </c>
      <c r="C3" t="n">
        <v>45</v>
      </c>
      <c r="D3" t="n">
        <v>20</v>
      </c>
      <c r="E3">
        <f>C3*D3</f>
        <v/>
      </c>
    </row>
    <row r="4">
      <c r="A4" t="inlineStr">
        <is>
          <t>2026-01-04</t>
        </is>
      </c>
      <c r="B4" t="inlineStr">
        <is>
          <t>方便面</t>
        </is>
      </c>
      <c r="C4" t="n">
        <v>3.5</v>
      </c>
      <c r="D4" t="n">
        <v>150</v>
      </c>
      <c r="E4">
        <f>C4*D4</f>
        <v/>
      </c>
    </row>
    <row r="5">
      <c r="A5" t="inlineStr">
        <is>
          <t>2026-01-04</t>
        </is>
      </c>
      <c r="B5" t="inlineStr">
        <is>
          <t>鲈鱼</t>
        </is>
      </c>
      <c r="C5" t="n">
        <v>28</v>
      </c>
      <c r="D5" t="n">
        <v>25</v>
      </c>
      <c r="E5">
        <f>C5*D5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2026-01-27T08:34:41Z</dcterms:created>
  <dcterms:modified xmlns:dcterms="http://purl.org/dc/terms/" xmlns:xsi="http://www.w3.org/2001/XMLSchema-instance" xsi:type="dcterms:W3CDTF">2026-01-27T08:34:41Z</dcterms:modified>
</cp:coreProperties>
</file>