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看板" sheetId="1" state="visible" r:id="rId1"/>
    <sheet xmlns:r="http://schemas.openxmlformats.org/officeDocument/2006/relationships" name="进货单价" sheetId="2" state="visible" r:id="rId2"/>
    <sheet xmlns:r="http://schemas.openxmlformats.org/officeDocument/2006/relationships" name="售卖金额" sheetId="3" state="visible" r:id="rId3"/>
    <sheet xmlns:r="http://schemas.openxmlformats.org/officeDocument/2006/relationships" name="每日销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各商品盈利能力对比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'管理看板'!C3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'管理看板'!$A$4:$A$7</f>
            </numRef>
          </cat>
          <val>
            <numRef>
              <f>'管理看板'!$C$4:$C$7</f>
            </numRef>
          </val>
        </ser>
        <ser>
          <idx val="1"/>
          <order val="1"/>
          <tx>
            <strRef>
              <f>'管理看板'!D3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'管理看板'!$A$4:$A$7</f>
            </numRef>
          </cat>
          <val>
            <numRef>
              <f>'管理看板'!$D$4:$D$7</f>
            </numRef>
          </val>
        </ser>
        <ser>
          <idx val="2"/>
          <order val="2"/>
          <tx>
            <strRef>
              <f>'管理看板'!E3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'管理看板'!$A$4:$A$7</f>
            </numRef>
          </cat>
          <val>
            <numRef>
              <f>'管理看板'!$E$4:$E$7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 (元)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每日销量波动趋势</a:t>
            </a:r>
          </a:p>
        </rich>
      </tx>
    </title>
    <plotArea>
      <lineChart>
        <grouping val="standard"/>
        <ser>
          <idx val="0"/>
          <order val="0"/>
          <tx>
            <strRef>
              <f>'每日销量'!C1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'每日销量'!$A$2:$A$9</f>
            </numRef>
          </cat>
          <val>
            <numRef>
              <f>'每日销量'!$C$2:$C$9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销售件数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超市月度盈利深度分析看板</t>
        </is>
      </c>
    </row>
    <row r="3">
      <c r="A3" t="inlineStr">
        <is>
          <t>商品名称</t>
        </is>
      </c>
      <c r="B3" t="inlineStr">
        <is>
          <t>总销量</t>
        </is>
      </c>
      <c r="C3" t="inlineStr">
        <is>
          <t>总收入</t>
        </is>
      </c>
      <c r="D3" t="inlineStr">
        <is>
          <t>总成本</t>
        </is>
      </c>
      <c r="E3" t="inlineStr">
        <is>
          <t>毛利润</t>
        </is>
      </c>
    </row>
    <row r="4">
      <c r="A4" t="inlineStr">
        <is>
          <t>苹果</t>
        </is>
      </c>
      <c r="B4">
        <f>SUMIF('每日销量'!B:B, A4, '每日销量'!C:C)</f>
        <v/>
      </c>
      <c r="C4">
        <f>B4 * VLOOKUP(A4, '售卖金额'!A:B, 2, FALSE)</f>
        <v/>
      </c>
      <c r="D4">
        <f>B4 * VLOOKUP(A4, '进货单价'!A:B, 2, FALSE)</f>
        <v/>
      </c>
      <c r="E4">
        <f>C4-D4</f>
        <v/>
      </c>
      <c r="G4" t="inlineStr">
        <is>
          <t>月度总收入：</t>
        </is>
      </c>
      <c r="H4">
        <f>SUM(C4:C7)</f>
        <v/>
      </c>
    </row>
    <row r="5">
      <c r="A5" t="inlineStr">
        <is>
          <t>洗发水</t>
        </is>
      </c>
      <c r="B5">
        <f>SUMIF('每日销量'!B:B, A5, '每日销量'!C:C)</f>
        <v/>
      </c>
      <c r="C5">
        <f>B5 * VLOOKUP(A5, '售卖金额'!A:B, 2, FALSE)</f>
        <v/>
      </c>
      <c r="D5">
        <f>B5 * VLOOKUP(A5, '进货单价'!A:B, 2, FALSE)</f>
        <v/>
      </c>
      <c r="E5">
        <f>C5-D5</f>
        <v/>
      </c>
      <c r="G5" s="2" t="inlineStr">
        <is>
          <t>月度总利润：</t>
        </is>
      </c>
      <c r="H5">
        <f>SUM(E4:E7)</f>
        <v/>
      </c>
    </row>
    <row r="6">
      <c r="A6" t="inlineStr">
        <is>
          <t>方便面</t>
        </is>
      </c>
      <c r="B6">
        <f>SUMIF('每日销量'!B:B, A6, '每日销量'!C:C)</f>
        <v/>
      </c>
      <c r="C6">
        <f>B6 * VLOOKUP(A6, '售卖金额'!A:B, 2, FALSE)</f>
        <v/>
      </c>
      <c r="D6">
        <f>B6 * VLOOKUP(A6, '进货单价'!A:B, 2, FALSE)</f>
        <v/>
      </c>
      <c r="E6">
        <f>C6-D6</f>
        <v/>
      </c>
    </row>
    <row r="7">
      <c r="A7" t="inlineStr">
        <is>
          <t>鲈鱼</t>
        </is>
      </c>
      <c r="B7">
        <f>SUMIF('每日销量'!B:B, A7, '每日销量'!C:C)</f>
        <v/>
      </c>
      <c r="C7">
        <f>B7 * VLOOKUP(A7, '售卖金额'!A:B, 2, FALSE)</f>
        <v/>
      </c>
      <c r="D7">
        <f>B7 * VLOOKUP(A7, '进货单价'!A:B, 2, FALSE)</f>
        <v/>
      </c>
      <c r="E7">
        <f>C7-D7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进货成本(元)</t>
        </is>
      </c>
    </row>
    <row r="2">
      <c r="A2" t="inlineStr">
        <is>
          <t>苹果</t>
        </is>
      </c>
      <c r="B2" t="n">
        <v>3.5</v>
      </c>
    </row>
    <row r="3">
      <c r="A3" t="inlineStr">
        <is>
          <t>洗发水</t>
        </is>
      </c>
      <c r="B3" t="n">
        <v>25</v>
      </c>
    </row>
    <row r="4">
      <c r="A4" t="inlineStr">
        <is>
          <t>方便面</t>
        </is>
      </c>
      <c r="B4" t="n">
        <v>2</v>
      </c>
    </row>
    <row r="5">
      <c r="A5" t="inlineStr">
        <is>
          <t>鲈鱼</t>
        </is>
      </c>
      <c r="B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零售单价(元)</t>
        </is>
      </c>
    </row>
    <row r="2">
      <c r="A2" t="inlineStr">
        <is>
          <t>苹果</t>
        </is>
      </c>
      <c r="B2" t="n">
        <v>6.5</v>
      </c>
    </row>
    <row r="3">
      <c r="A3" t="inlineStr">
        <is>
          <t>洗发水</t>
        </is>
      </c>
      <c r="B3" t="n">
        <v>48</v>
      </c>
    </row>
    <row r="4">
      <c r="A4" t="inlineStr">
        <is>
          <t>方便面</t>
        </is>
      </c>
      <c r="B4" t="n">
        <v>4</v>
      </c>
    </row>
    <row r="5">
      <c r="A5" t="inlineStr">
        <is>
          <t>鲈鱼</t>
        </is>
      </c>
      <c r="B5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商品名称</t>
        </is>
      </c>
      <c r="C1" t="inlineStr">
        <is>
          <t>销售数量</t>
        </is>
      </c>
    </row>
    <row r="2">
      <c r="A2" t="inlineStr">
        <is>
          <t>01-01</t>
        </is>
      </c>
      <c r="B2" t="inlineStr">
        <is>
          <t>苹果</t>
        </is>
      </c>
      <c r="C2" t="n">
        <v>50</v>
      </c>
    </row>
    <row r="3">
      <c r="A3" t="inlineStr">
        <is>
          <t>01-01</t>
        </is>
      </c>
      <c r="B3" t="inlineStr">
        <is>
          <t>洗发水</t>
        </is>
      </c>
      <c r="C3" t="n">
        <v>5</v>
      </c>
    </row>
    <row r="4">
      <c r="A4" t="inlineStr">
        <is>
          <t>01-02</t>
        </is>
      </c>
      <c r="B4" t="inlineStr">
        <is>
          <t>方便面</t>
        </is>
      </c>
      <c r="C4" t="n">
        <v>100</v>
      </c>
    </row>
    <row r="5">
      <c r="A5" t="inlineStr">
        <is>
          <t>01-02</t>
        </is>
      </c>
      <c r="B5" t="inlineStr">
        <is>
          <t>鲈鱼</t>
        </is>
      </c>
      <c r="C5" t="n">
        <v>10</v>
      </c>
    </row>
    <row r="6">
      <c r="A6" t="inlineStr">
        <is>
          <t>01-03</t>
        </is>
      </c>
      <c r="B6" t="inlineStr">
        <is>
          <t>苹果</t>
        </is>
      </c>
      <c r="C6" t="n">
        <v>40</v>
      </c>
    </row>
    <row r="7">
      <c r="A7" t="inlineStr">
        <is>
          <t>01-03</t>
        </is>
      </c>
      <c r="B7" t="inlineStr">
        <is>
          <t>洗发水</t>
        </is>
      </c>
      <c r="C7" t="n">
        <v>8</v>
      </c>
    </row>
    <row r="8">
      <c r="A8" t="inlineStr">
        <is>
          <t>01-04</t>
        </is>
      </c>
      <c r="B8" t="inlineStr">
        <is>
          <t>方便面</t>
        </is>
      </c>
      <c r="C8" t="n">
        <v>80</v>
      </c>
    </row>
    <row r="9">
      <c r="A9" t="inlineStr">
        <is>
          <t>01-04</t>
        </is>
      </c>
      <c r="B9" t="inlineStr">
        <is>
          <t>鲈鱼</t>
        </is>
      </c>
      <c r="C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2026-01-27T09:53:24Z</dcterms:created>
  <dcterms:modified xmlns:dcterms="http://purl.org/dc/terms/" xmlns:xsi="http://www.w3.org/2001/XMLSchema-instance" xsi:type="dcterms:W3CDTF">2026-01-27T09:53:24Z</dcterms:modified>
</cp:coreProperties>
</file>