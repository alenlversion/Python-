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看板" sheetId="1" state="visible" r:id="rId1"/>
    <sheet xmlns:r="http://schemas.openxmlformats.org/officeDocument/2006/relationships" name="交易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3">
    <font>
      <name val="Calibri"/>
      <family val="2"/>
      <color theme="1"/>
      <sz val="11"/>
      <scheme val="minor"/>
    </font>
    <font>
      <b val="1"/>
      <color rgb="00004B97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商品分类销售占比</a:t>
            </a:r>
          </a:p>
        </rich>
      </tx>
    </title>
    <plotArea>
      <pieChart>
        <varyColors val="1"/>
        <ser>
          <idx val="0"/>
          <order val="0"/>
          <tx>
            <strRef>
              <f>'管理看板'!B20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'管理看板'!$A$21:$A$23</f>
            </numRef>
          </cat>
          <val>
            <numRef>
              <f>'管理看板'!$B$21:$B$23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每日销售额走势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'交易明细'!G1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'交易明细'!$B$2:$B$15</f>
            </numRef>
          </cat>
          <val>
            <numRef>
              <f>'交易明细'!$G$2:$G$15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陈氏超市 2026年1月 销售分析日报</t>
        </is>
      </c>
    </row>
    <row r="3">
      <c r="A3" s="2" t="inlineStr">
        <is>
          <t>总销售额汇总</t>
        </is>
      </c>
      <c r="B3" s="3">
        <f>SUM('交易明细'!G2:G31)</f>
        <v/>
      </c>
    </row>
    <row r="20">
      <c r="A20" t="inlineStr">
        <is>
          <t>类别</t>
        </is>
      </c>
      <c r="B20" t="inlineStr">
        <is>
          <t>销售额</t>
        </is>
      </c>
    </row>
    <row r="21">
      <c r="A21" t="inlineStr">
        <is>
          <t>生鲜</t>
        </is>
      </c>
      <c r="B21">
        <f>SUMIF('交易明细'!C:C, A21, '交易明细'!G:G)</f>
        <v/>
      </c>
    </row>
    <row r="22">
      <c r="A22" t="inlineStr">
        <is>
          <t>食品</t>
        </is>
      </c>
      <c r="B22">
        <f>SUMIF('交易明细'!C:C, A22, '交易明细'!G:G)</f>
        <v/>
      </c>
    </row>
    <row r="23">
      <c r="A23" t="inlineStr">
        <is>
          <t>日用品</t>
        </is>
      </c>
      <c r="B23">
        <f>SUMIF('交易明细'!C:C, A23, '交易明细'!G:G)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订单编号</t>
        </is>
      </c>
      <c r="B1" s="4" t="inlineStr">
        <is>
          <t>日期</t>
        </is>
      </c>
      <c r="C1" s="4" t="inlineStr">
        <is>
          <t>商品类别</t>
        </is>
      </c>
      <c r="D1" s="4" t="inlineStr">
        <is>
          <t>商品名称</t>
        </is>
      </c>
      <c r="E1" s="4" t="inlineStr">
        <is>
          <t>单价</t>
        </is>
      </c>
      <c r="F1" s="4" t="inlineStr">
        <is>
          <t>销量</t>
        </is>
      </c>
      <c r="G1" s="4" t="inlineStr">
        <is>
          <t>总金额</t>
        </is>
      </c>
    </row>
    <row r="2">
      <c r="A2" t="inlineStr">
        <is>
          <t>SN1001</t>
        </is>
      </c>
      <c r="B2" t="inlineStr">
        <is>
          <t>2026-01-01</t>
        </is>
      </c>
      <c r="C2" t="inlineStr">
        <is>
          <t>生鲜</t>
        </is>
      </c>
      <c r="D2" t="inlineStr">
        <is>
          <t>五花肉</t>
        </is>
      </c>
      <c r="E2" t="n">
        <v>49.45</v>
      </c>
      <c r="F2" t="n">
        <v>7</v>
      </c>
      <c r="G2">
        <f>E2*F2</f>
        <v/>
      </c>
    </row>
    <row r="3">
      <c r="A3" t="inlineStr">
        <is>
          <t>SN1002</t>
        </is>
      </c>
      <c r="B3" t="inlineStr">
        <is>
          <t>2026-01-01</t>
        </is>
      </c>
      <c r="C3" t="inlineStr">
        <is>
          <t>日用品</t>
        </is>
      </c>
      <c r="D3" t="inlineStr">
        <is>
          <t>抽纸</t>
        </is>
      </c>
      <c r="E3" t="n">
        <v>5.81</v>
      </c>
      <c r="F3" t="n">
        <v>5</v>
      </c>
      <c r="G3">
        <f>E3*F3</f>
        <v/>
      </c>
    </row>
    <row r="4">
      <c r="A4" t="inlineStr">
        <is>
          <t>SN1003</t>
        </is>
      </c>
      <c r="B4" t="inlineStr">
        <is>
          <t>2026-01-01</t>
        </is>
      </c>
      <c r="C4" t="inlineStr">
        <is>
          <t>日用品</t>
        </is>
      </c>
      <c r="D4" t="inlineStr">
        <is>
          <t>牙刷</t>
        </is>
      </c>
      <c r="E4" t="n">
        <v>30.85</v>
      </c>
      <c r="F4" t="n">
        <v>3</v>
      </c>
      <c r="G4">
        <f>E4*F4</f>
        <v/>
      </c>
    </row>
    <row r="5">
      <c r="A5" t="inlineStr">
        <is>
          <t>SN1004</t>
        </is>
      </c>
      <c r="B5" t="inlineStr">
        <is>
          <t>2026-01-01</t>
        </is>
      </c>
      <c r="C5" t="inlineStr">
        <is>
          <t>日用品</t>
        </is>
      </c>
      <c r="D5" t="inlineStr">
        <is>
          <t>洗发水</t>
        </is>
      </c>
      <c r="E5" t="n">
        <v>39.37</v>
      </c>
      <c r="F5" t="n">
        <v>6</v>
      </c>
      <c r="G5">
        <f>E5*F5</f>
        <v/>
      </c>
    </row>
    <row r="6">
      <c r="A6" t="inlineStr">
        <is>
          <t>SN1005</t>
        </is>
      </c>
      <c r="B6" t="inlineStr">
        <is>
          <t>2026-01-02</t>
        </is>
      </c>
      <c r="C6" t="inlineStr">
        <is>
          <t>生鲜</t>
        </is>
      </c>
      <c r="D6" t="inlineStr">
        <is>
          <t>五花肉</t>
        </is>
      </c>
      <c r="E6" t="n">
        <v>59.86</v>
      </c>
      <c r="F6" t="n">
        <v>6</v>
      </c>
      <c r="G6">
        <f>E6*F6</f>
        <v/>
      </c>
    </row>
    <row r="7">
      <c r="A7" t="inlineStr">
        <is>
          <t>SN1006</t>
        </is>
      </c>
      <c r="B7" t="inlineStr">
        <is>
          <t>2026-01-02</t>
        </is>
      </c>
      <c r="C7" t="inlineStr">
        <is>
          <t>食品</t>
        </is>
      </c>
      <c r="D7" t="inlineStr">
        <is>
          <t>方便面</t>
        </is>
      </c>
      <c r="E7" t="n">
        <v>17.35</v>
      </c>
      <c r="F7" t="n">
        <v>2</v>
      </c>
      <c r="G7">
        <f>E7*F7</f>
        <v/>
      </c>
    </row>
    <row r="8">
      <c r="A8" t="inlineStr">
        <is>
          <t>SN1007</t>
        </is>
      </c>
      <c r="B8" t="inlineStr">
        <is>
          <t>2026-01-02</t>
        </is>
      </c>
      <c r="C8" t="inlineStr">
        <is>
          <t>生鲜</t>
        </is>
      </c>
      <c r="D8" t="inlineStr">
        <is>
          <t>五花肉</t>
        </is>
      </c>
      <c r="E8" t="n">
        <v>27.95</v>
      </c>
      <c r="F8" t="n">
        <v>5</v>
      </c>
      <c r="G8">
        <f>E8*F8</f>
        <v/>
      </c>
    </row>
    <row r="9">
      <c r="A9" t="inlineStr">
        <is>
          <t>SN1008</t>
        </is>
      </c>
      <c r="B9" t="inlineStr">
        <is>
          <t>2026-01-02</t>
        </is>
      </c>
      <c r="C9" t="inlineStr">
        <is>
          <t>生鲜</t>
        </is>
      </c>
      <c r="D9" t="inlineStr">
        <is>
          <t>五花肉</t>
        </is>
      </c>
      <c r="E9" t="n">
        <v>56.04</v>
      </c>
      <c r="F9" t="n">
        <v>7</v>
      </c>
      <c r="G9">
        <f>E9*F9</f>
        <v/>
      </c>
    </row>
    <row r="10">
      <c r="A10" t="inlineStr">
        <is>
          <t>SN1009</t>
        </is>
      </c>
      <c r="B10" t="inlineStr">
        <is>
          <t>2026-01-02</t>
        </is>
      </c>
      <c r="C10" t="inlineStr">
        <is>
          <t>日用品</t>
        </is>
      </c>
      <c r="D10" t="inlineStr">
        <is>
          <t>洗发水</t>
        </is>
      </c>
      <c r="E10" t="n">
        <v>78.3</v>
      </c>
      <c r="F10" t="n">
        <v>5</v>
      </c>
      <c r="G10">
        <f>E10*F10</f>
        <v/>
      </c>
    </row>
    <row r="11">
      <c r="A11" t="inlineStr">
        <is>
          <t>SN1010</t>
        </is>
      </c>
      <c r="B11" t="inlineStr">
        <is>
          <t>2026-01-03</t>
        </is>
      </c>
      <c r="C11" t="inlineStr">
        <is>
          <t>日用品</t>
        </is>
      </c>
      <c r="D11" t="inlineStr">
        <is>
          <t>洗衣液</t>
        </is>
      </c>
      <c r="E11" t="n">
        <v>40.89</v>
      </c>
      <c r="F11" t="n">
        <v>3</v>
      </c>
      <c r="G11">
        <f>E11*F11</f>
        <v/>
      </c>
    </row>
    <row r="12">
      <c r="A12" t="inlineStr">
        <is>
          <t>SN1011</t>
        </is>
      </c>
      <c r="B12" t="inlineStr">
        <is>
          <t>2026-01-03</t>
        </is>
      </c>
      <c r="C12" t="inlineStr">
        <is>
          <t>日用品</t>
        </is>
      </c>
      <c r="D12" t="inlineStr">
        <is>
          <t>洗发水</t>
        </is>
      </c>
      <c r="E12" t="n">
        <v>22.23</v>
      </c>
      <c r="F12" t="n">
        <v>4</v>
      </c>
      <c r="G12">
        <f>E12*F12</f>
        <v/>
      </c>
    </row>
    <row r="13">
      <c r="A13" t="inlineStr">
        <is>
          <t>SN1012</t>
        </is>
      </c>
      <c r="B13" t="inlineStr">
        <is>
          <t>2026-01-03</t>
        </is>
      </c>
      <c r="C13" t="inlineStr">
        <is>
          <t>生鲜</t>
        </is>
      </c>
      <c r="D13" t="inlineStr">
        <is>
          <t>苹果</t>
        </is>
      </c>
      <c r="E13" t="n">
        <v>37.8</v>
      </c>
      <c r="F13" t="n">
        <v>9</v>
      </c>
      <c r="G13">
        <f>E13*F13</f>
        <v/>
      </c>
    </row>
    <row r="14">
      <c r="A14" t="inlineStr">
        <is>
          <t>SN1013</t>
        </is>
      </c>
      <c r="B14" t="inlineStr">
        <is>
          <t>2026-01-03</t>
        </is>
      </c>
      <c r="C14" t="inlineStr">
        <is>
          <t>日用品</t>
        </is>
      </c>
      <c r="D14" t="inlineStr">
        <is>
          <t>洗衣液</t>
        </is>
      </c>
      <c r="E14" t="n">
        <v>62.13</v>
      </c>
      <c r="F14" t="n">
        <v>8</v>
      </c>
      <c r="G14">
        <f>E14*F14</f>
        <v/>
      </c>
    </row>
    <row r="15">
      <c r="A15" t="inlineStr">
        <is>
          <t>SN1014</t>
        </is>
      </c>
      <c r="B15" t="inlineStr">
        <is>
          <t>2026-01-03</t>
        </is>
      </c>
      <c r="C15" t="inlineStr">
        <is>
          <t>生鲜</t>
        </is>
      </c>
      <c r="D15" t="inlineStr">
        <is>
          <t>苹果</t>
        </is>
      </c>
      <c r="E15" t="n">
        <v>79.98999999999999</v>
      </c>
      <c r="F15" t="n">
        <v>7</v>
      </c>
      <c r="G15">
        <f>E15*F15</f>
        <v/>
      </c>
    </row>
    <row r="16">
      <c r="A16" t="inlineStr">
        <is>
          <t>SN1015</t>
        </is>
      </c>
      <c r="B16" t="inlineStr">
        <is>
          <t>2026-01-04</t>
        </is>
      </c>
      <c r="C16" t="inlineStr">
        <is>
          <t>生鲜</t>
        </is>
      </c>
      <c r="D16" t="inlineStr">
        <is>
          <t>五花肉</t>
        </is>
      </c>
      <c r="E16" t="n">
        <v>14.53</v>
      </c>
      <c r="F16" t="n">
        <v>2</v>
      </c>
      <c r="G16">
        <f>E16*F16</f>
        <v/>
      </c>
    </row>
    <row r="17">
      <c r="A17" t="inlineStr">
        <is>
          <t>SN1016</t>
        </is>
      </c>
      <c r="B17" t="inlineStr">
        <is>
          <t>2026-01-04</t>
        </is>
      </c>
      <c r="C17" t="inlineStr">
        <is>
          <t>食品</t>
        </is>
      </c>
      <c r="D17" t="inlineStr">
        <is>
          <t>薯片</t>
        </is>
      </c>
      <c r="E17" t="n">
        <v>42.31</v>
      </c>
      <c r="F17" t="n">
        <v>4</v>
      </c>
      <c r="G17">
        <f>E17*F17</f>
        <v/>
      </c>
    </row>
    <row r="18">
      <c r="A18" t="inlineStr">
        <is>
          <t>SN1017</t>
        </is>
      </c>
      <c r="B18" t="inlineStr">
        <is>
          <t>2026-01-04</t>
        </is>
      </c>
      <c r="C18" t="inlineStr">
        <is>
          <t>日用品</t>
        </is>
      </c>
      <c r="D18" t="inlineStr">
        <is>
          <t>洗发水</t>
        </is>
      </c>
      <c r="E18" t="n">
        <v>45.28</v>
      </c>
      <c r="F18" t="n">
        <v>2</v>
      </c>
      <c r="G18">
        <f>E18*F18</f>
        <v/>
      </c>
    </row>
    <row r="19">
      <c r="A19" t="inlineStr">
        <is>
          <t>SN1018</t>
        </is>
      </c>
      <c r="B19" t="inlineStr">
        <is>
          <t>2026-01-04</t>
        </is>
      </c>
      <c r="C19" t="inlineStr">
        <is>
          <t>生鲜</t>
        </is>
      </c>
      <c r="D19" t="inlineStr">
        <is>
          <t>西红柿</t>
        </is>
      </c>
      <c r="E19" t="n">
        <v>72.38</v>
      </c>
      <c r="F19" t="n">
        <v>10</v>
      </c>
      <c r="G19">
        <f>E19*F19</f>
        <v/>
      </c>
    </row>
    <row r="20">
      <c r="A20" t="inlineStr">
        <is>
          <t>SN1019</t>
        </is>
      </c>
      <c r="B20" t="inlineStr">
        <is>
          <t>2026-01-04</t>
        </is>
      </c>
      <c r="C20" t="inlineStr">
        <is>
          <t>日用品</t>
        </is>
      </c>
      <c r="D20" t="inlineStr">
        <is>
          <t>洗发水</t>
        </is>
      </c>
      <c r="E20" t="n">
        <v>44.55</v>
      </c>
      <c r="F20" t="n">
        <v>2</v>
      </c>
      <c r="G20">
        <f>E20*F20</f>
        <v/>
      </c>
    </row>
    <row r="21">
      <c r="A21" t="inlineStr">
        <is>
          <t>SN1020</t>
        </is>
      </c>
      <c r="B21" t="inlineStr">
        <is>
          <t>2026-01-05</t>
        </is>
      </c>
      <c r="C21" t="inlineStr">
        <is>
          <t>日用品</t>
        </is>
      </c>
      <c r="D21" t="inlineStr">
        <is>
          <t>洗衣液</t>
        </is>
      </c>
      <c r="E21" t="n">
        <v>9.699999999999999</v>
      </c>
      <c r="F21" t="n">
        <v>3</v>
      </c>
      <c r="G21">
        <f>E21*F21</f>
        <v/>
      </c>
    </row>
    <row r="22">
      <c r="A22" t="inlineStr">
        <is>
          <t>SN1021</t>
        </is>
      </c>
      <c r="B22" t="inlineStr">
        <is>
          <t>2026-01-05</t>
        </is>
      </c>
      <c r="C22" t="inlineStr">
        <is>
          <t>日用品</t>
        </is>
      </c>
      <c r="D22" t="inlineStr">
        <is>
          <t>洗发水</t>
        </is>
      </c>
      <c r="E22" t="n">
        <v>46.68</v>
      </c>
      <c r="F22" t="n">
        <v>3</v>
      </c>
      <c r="G22">
        <f>E22*F22</f>
        <v/>
      </c>
    </row>
    <row r="23">
      <c r="A23" t="inlineStr">
        <is>
          <t>SN1022</t>
        </is>
      </c>
      <c r="B23" t="inlineStr">
        <is>
          <t>2026-01-05</t>
        </is>
      </c>
      <c r="C23" t="inlineStr">
        <is>
          <t>食品</t>
        </is>
      </c>
      <c r="D23" t="inlineStr">
        <is>
          <t>薯片</t>
        </is>
      </c>
      <c r="E23" t="n">
        <v>79.09</v>
      </c>
      <c r="F23" t="n">
        <v>9</v>
      </c>
      <c r="G23">
        <f>E23*F23</f>
        <v/>
      </c>
    </row>
    <row r="24">
      <c r="A24" t="inlineStr">
        <is>
          <t>SN1023</t>
        </is>
      </c>
      <c r="B24" t="inlineStr">
        <is>
          <t>2026-01-05</t>
        </is>
      </c>
      <c r="C24" t="inlineStr">
        <is>
          <t>生鲜</t>
        </is>
      </c>
      <c r="D24" t="inlineStr">
        <is>
          <t>鲈鱼</t>
        </is>
      </c>
      <c r="E24" t="n">
        <v>51.73</v>
      </c>
      <c r="F24" t="n">
        <v>4</v>
      </c>
      <c r="G24">
        <f>E24*F24</f>
        <v/>
      </c>
    </row>
    <row r="25">
      <c r="A25" t="inlineStr">
        <is>
          <t>SN1024</t>
        </is>
      </c>
      <c r="B25" t="inlineStr">
        <is>
          <t>2026-01-05</t>
        </is>
      </c>
      <c r="C25" t="inlineStr">
        <is>
          <t>日用品</t>
        </is>
      </c>
      <c r="D25" t="inlineStr">
        <is>
          <t>洗衣液</t>
        </is>
      </c>
      <c r="E25" t="n">
        <v>64.91</v>
      </c>
      <c r="F25" t="n">
        <v>1</v>
      </c>
      <c r="G25">
        <f>E25*F25</f>
        <v/>
      </c>
    </row>
    <row r="26">
      <c r="A26" t="inlineStr">
        <is>
          <t>SN1025</t>
        </is>
      </c>
      <c r="B26" t="inlineStr">
        <is>
          <t>2026-01-06</t>
        </is>
      </c>
      <c r="C26" t="inlineStr">
        <is>
          <t>食品</t>
        </is>
      </c>
      <c r="D26" t="inlineStr">
        <is>
          <t>薯片</t>
        </is>
      </c>
      <c r="E26" t="n">
        <v>8.19</v>
      </c>
      <c r="F26" t="n">
        <v>1</v>
      </c>
      <c r="G26">
        <f>E26*F26</f>
        <v/>
      </c>
    </row>
    <row r="27">
      <c r="A27" t="inlineStr">
        <is>
          <t>SN1026</t>
        </is>
      </c>
      <c r="B27" t="inlineStr">
        <is>
          <t>2026-01-06</t>
        </is>
      </c>
      <c r="C27" t="inlineStr">
        <is>
          <t>食品</t>
        </is>
      </c>
      <c r="D27" t="inlineStr">
        <is>
          <t>食用油</t>
        </is>
      </c>
      <c r="E27" t="n">
        <v>18.78</v>
      </c>
      <c r="F27" t="n">
        <v>4</v>
      </c>
      <c r="G27">
        <f>E27*F27</f>
        <v/>
      </c>
    </row>
    <row r="28">
      <c r="A28" t="inlineStr">
        <is>
          <t>SN1027</t>
        </is>
      </c>
      <c r="B28" t="inlineStr">
        <is>
          <t>2026-01-06</t>
        </is>
      </c>
      <c r="C28" t="inlineStr">
        <is>
          <t>日用品</t>
        </is>
      </c>
      <c r="D28" t="inlineStr">
        <is>
          <t>抽纸</t>
        </is>
      </c>
      <c r="E28" t="n">
        <v>77.69</v>
      </c>
      <c r="F28" t="n">
        <v>6</v>
      </c>
      <c r="G28">
        <f>E28*F28</f>
        <v/>
      </c>
    </row>
    <row r="29">
      <c r="A29" t="inlineStr">
        <is>
          <t>SN1028</t>
        </is>
      </c>
      <c r="B29" t="inlineStr">
        <is>
          <t>2026-01-06</t>
        </is>
      </c>
      <c r="C29" t="inlineStr">
        <is>
          <t>食品</t>
        </is>
      </c>
      <c r="D29" t="inlineStr">
        <is>
          <t>方便面</t>
        </is>
      </c>
      <c r="E29" t="n">
        <v>45.61</v>
      </c>
      <c r="F29" t="n">
        <v>8</v>
      </c>
      <c r="G29">
        <f>E29*F29</f>
        <v/>
      </c>
    </row>
    <row r="30">
      <c r="A30" t="inlineStr">
        <is>
          <t>SN1029</t>
        </is>
      </c>
      <c r="B30" t="inlineStr">
        <is>
          <t>2026-01-06</t>
        </is>
      </c>
      <c r="C30" t="inlineStr">
        <is>
          <t>生鲜</t>
        </is>
      </c>
      <c r="D30" t="inlineStr">
        <is>
          <t>苹果</t>
        </is>
      </c>
      <c r="E30" t="n">
        <v>55.29</v>
      </c>
      <c r="F30" t="n">
        <v>6</v>
      </c>
      <c r="G30">
        <f>E30*F30</f>
        <v/>
      </c>
    </row>
    <row r="31">
      <c r="A31" t="inlineStr">
        <is>
          <t>SN1030</t>
        </is>
      </c>
      <c r="B31" t="inlineStr">
        <is>
          <t>2026-01-07</t>
        </is>
      </c>
      <c r="C31" t="inlineStr">
        <is>
          <t>日用品</t>
        </is>
      </c>
      <c r="D31" t="inlineStr">
        <is>
          <t>洗发水</t>
        </is>
      </c>
      <c r="E31" t="n">
        <v>6</v>
      </c>
      <c r="F31" t="n">
        <v>3</v>
      </c>
      <c r="G31">
        <f>E31*F31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2026-01-27T08:32:12Z</dcterms:created>
  <dcterms:modified xmlns:dcterms="http://purl.org/dc/terms/" xmlns:xsi="http://www.w3.org/2001/XMLSchema-instance" xsi:type="dcterms:W3CDTF">2026-01-27T08:32:12Z</dcterms:modified>
</cp:coreProperties>
</file>